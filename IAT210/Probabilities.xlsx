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FU\School_work\IAT210\"/>
    </mc:Choice>
  </mc:AlternateContent>
  <xr:revisionPtr revIDLastSave="0" documentId="13_ncr:1_{6D94C83F-1E5C-48B2-8840-60B2EDAA8A39}" xr6:coauthVersionLast="47" xr6:coauthVersionMax="47" xr10:uidLastSave="{00000000-0000-0000-0000-000000000000}"/>
  <bookViews>
    <workbookView xWindow="30390" yWindow="1605" windowWidth="21600" windowHeight="11835" xr2:uid="{53DF2140-2D28-42D7-B808-F1F1ACA4BE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3" i="1" l="1" a="1"/>
  <c r="J53" i="1" s="1"/>
  <c r="E41" i="1" a="1"/>
  <c r="E41" i="1" s="1"/>
  <c r="E42" i="1" s="1"/>
  <c r="E39" i="1"/>
  <c r="N39" i="1"/>
  <c r="M39" i="1"/>
  <c r="L39" i="1"/>
  <c r="M38" i="1"/>
  <c r="N38" i="1"/>
  <c r="L38" i="1"/>
  <c r="M36" i="1"/>
  <c r="N36" i="1"/>
  <c r="L36" i="1"/>
  <c r="M35" i="1"/>
  <c r="N35" i="1"/>
  <c r="L35" i="1"/>
  <c r="M42" i="1"/>
  <c r="N42" i="1"/>
  <c r="L42" i="1"/>
  <c r="M41" i="1"/>
  <c r="N41" i="1"/>
  <c r="L41" i="1"/>
  <c r="M33" i="1"/>
  <c r="N33" i="1"/>
  <c r="L33" i="1"/>
  <c r="M32" i="1"/>
  <c r="N32" i="1"/>
  <c r="L32" i="1"/>
  <c r="E34" i="1"/>
  <c r="E36" i="1"/>
  <c r="E35" i="1"/>
  <c r="E33" i="1"/>
  <c r="K60" i="1"/>
  <c r="L60" i="1"/>
  <c r="J60" i="1"/>
  <c r="M53" i="1" a="1"/>
  <c r="M53" i="1" s="1"/>
  <c r="G13" i="1"/>
  <c r="J58" i="1"/>
  <c r="L59" i="1"/>
  <c r="L58" i="1"/>
  <c r="K59" i="1"/>
  <c r="K58" i="1"/>
  <c r="J59" i="1"/>
  <c r="H13" i="1"/>
  <c r="I13" i="1"/>
  <c r="J13" i="1"/>
  <c r="K13" i="1"/>
  <c r="L13" i="1"/>
  <c r="M13" i="1"/>
  <c r="N13" i="1"/>
  <c r="E11" i="1"/>
  <c r="G17" i="1" s="1"/>
  <c r="M14" i="1" l="1"/>
  <c r="M15" i="1" s="1"/>
  <c r="N14" i="1"/>
  <c r="N15" i="1" s="1"/>
  <c r="L14" i="1"/>
  <c r="L15" i="1" s="1"/>
  <c r="G14" i="1"/>
  <c r="I14" i="1"/>
  <c r="I15" i="1" s="1"/>
  <c r="H14" i="1"/>
  <c r="H15" i="1" s="1"/>
  <c r="K14" i="1"/>
  <c r="K15" i="1" s="1"/>
  <c r="J14" i="1"/>
  <c r="J15" i="1" s="1"/>
  <c r="G15" i="1" l="1"/>
  <c r="G18" i="1" s="1"/>
  <c r="G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<sst xmlns="http://schemas.openxmlformats.org/spreadsheetml/2006/main" count="69" uniqueCount="66">
  <si>
    <t>Stuff for card probability</t>
  </si>
  <si>
    <t>number of card types:</t>
  </si>
  <si>
    <t>Number of card of each type:</t>
  </si>
  <si>
    <t>hand size:</t>
  </si>
  <si>
    <t>draft hand size:</t>
  </si>
  <si>
    <t>Variables</t>
  </si>
  <si>
    <t>Calculated variables</t>
  </si>
  <si>
    <t>Total deck size:</t>
  </si>
  <si>
    <t>Lets make some assuptions to make the math easier.</t>
  </si>
  <si>
    <t xml:space="preserve"> Thus the chance of any card being gone is equal to any other card being gone</t>
  </si>
  <si>
    <t>1. We assume everyone is playing randomly / all cards are perfectly balanced.</t>
  </si>
  <si>
    <t>the odds of getting more cards, letting us assume we took a random card</t>
  </si>
  <si>
    <t>Picking a card from hand of "blank" cards:</t>
  </si>
  <si>
    <t>2. We are going to assume that we don't know which card we took when calculating</t>
  </si>
  <si>
    <t>Percent chance of getting the card you want:</t>
  </si>
  <si>
    <t>Overall chance of getting the exact hand you want:</t>
  </si>
  <si>
    <t>Probability of tiles</t>
  </si>
  <si>
    <t>Exits</t>
  </si>
  <si>
    <t>Total Tiles in deck:</t>
  </si>
  <si>
    <t>Average exits on a tile:</t>
  </si>
  <si>
    <t>Scores and their distridution</t>
  </si>
  <si>
    <t>Name of token</t>
  </si>
  <si>
    <t>Score</t>
  </si>
  <si>
    <t>#</t>
  </si>
  <si>
    <t xml:space="preserve"> Canned food:</t>
  </si>
  <si>
    <t>Bag of Nuts:</t>
  </si>
  <si>
    <t>Gourd:</t>
  </si>
  <si>
    <t>Apple:</t>
  </si>
  <si>
    <t>First to leave:</t>
  </si>
  <si>
    <t>Did not leave:</t>
  </si>
  <si>
    <t>Highest score possible:</t>
  </si>
  <si>
    <t>Lowest score possible:</t>
  </si>
  <si>
    <t>Suspision cap:</t>
  </si>
  <si>
    <t>∞</t>
  </si>
  <si>
    <t>-∞</t>
  </si>
  <si>
    <t>Highscore average:</t>
  </si>
  <si>
    <t>Lowscore average:</t>
  </si>
  <si>
    <t>Players:</t>
  </si>
  <si>
    <t>Perfect split:</t>
  </si>
  <si>
    <t>Chance of getting a particular card:</t>
  </si>
  <si>
    <t>Chance of getting the best card if everyone takes it:</t>
  </si>
  <si>
    <t>Chance to get particular card if everyone takes it:</t>
  </si>
  <si>
    <t>total</t>
  </si>
  <si>
    <t>none trap tile that lets you go straight:</t>
  </si>
  <si>
    <t>Chance of pulling</t>
  </si>
  <si>
    <t xml:space="preserve"> a tile that lets you turn:</t>
  </si>
  <si>
    <t>a tile that lets you go straight:</t>
  </si>
  <si>
    <t>a plain tile that lets you go straight:</t>
  </si>
  <si>
    <t>a plain tile that lets you turn:</t>
  </si>
  <si>
    <t>none security tile that lets you go straight:</t>
  </si>
  <si>
    <t>none security tile that lets you turn:</t>
  </si>
  <si>
    <t>none trap tile that lets you turn:</t>
  </si>
  <si>
    <t>plain tiles:</t>
  </si>
  <si>
    <t>trap tiles:</t>
  </si>
  <si>
    <t>security tiles:</t>
  </si>
  <si>
    <t>straight tiles:</t>
  </si>
  <si>
    <t>three way tiles:</t>
  </si>
  <si>
    <t>turn tiles:</t>
  </si>
  <si>
    <t>four way tiles:</t>
  </si>
  <si>
    <t>All tiles</t>
  </si>
  <si>
    <t>None trap tiles</t>
  </si>
  <si>
    <t>None security tiles</t>
  </si>
  <si>
    <t>Only plain tiles</t>
  </si>
  <si>
    <t>Sum of exits:</t>
  </si>
  <si>
    <t>straight/turn tiles of one type:</t>
  </si>
  <si>
    <t>How many spots are there to placve tiles: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</si>
</sst>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3" xfId="0" applyBorder="1"/>
    <xf numFmtId="0" fontId="1" fillId="0" borderId="5" xfId="0" applyFont="1" applyBorder="1"/>
    <xf numFmtId="0" fontId="1" fillId="0" borderId="8" xfId="0" applyFont="1" applyBorder="1"/>
    <xf numFmtId="0" fontId="0" fillId="0" borderId="5" xfId="0" applyBorder="1" applyAlignment="1">
      <alignment horizontal="center"/>
    </xf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quotePrefix="1" applyAlignment="1">
      <alignment horizontal="right"/>
    </xf>
    <xf numFmtId="0" fontId="0" fillId="0" borderId="4" xfId="0" applyBorder="1"/>
    <xf numFmtId="0" fontId="1" fillId="0" borderId="0" xfId="0" applyFont="1"/>
    <xf numFmtId="0" fontId="0" fillId="0" borderId="6" xfId="0" applyBorder="1"/>
    <xf numFmtId="0" fontId="0" fillId="0" borderId="1" xfId="0" applyBorder="1"/>
    <xf numFmtId="0" fontId="0" fillId="0" borderId="10" xfId="0" applyBorder="1"/>
    <xf numFmtId="0" fontId="0" fillId="0" borderId="11" xfId="0" applyBorder="1"/>
    <xf numFmtId="0" fontId="2" fillId="0" borderId="0" xfId="0" applyFon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2" fillId="0" borderId="4" xfId="0" applyFont="1" applyBorder="1"/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4" xfId="0" applyBorder="1" applyAlignment="1">
      <alignment horizontal="right"/>
    </xf>
    <xf numFmtId="0" fontId="0" fillId="0" borderId="0" xfId="0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5" xfId="0" applyBorder="1" applyAlignment="1">
      <alignment horizontal="right"/>
    </xf>
    <xf numFmtId="49" fontId="0" fillId="2" borderId="1" xfId="0" applyNumberFormat="1" applyFill="1" applyBorder="1" applyAlignment="1">
      <alignment horizontal="left"/>
    </xf>
    <xf numFmtId="49" fontId="0" fillId="2" borderId="2" xfId="0" applyNumberFormat="1" applyFill="1" applyBorder="1" applyAlignment="1">
      <alignment horizontal="left"/>
    </xf>
    <xf numFmtId="49" fontId="0" fillId="2" borderId="3" xfId="0" applyNumberFormat="1" applyFill="1" applyBorder="1" applyAlignment="1">
      <alignment horizontal="left"/>
    </xf>
    <xf numFmtId="49" fontId="0" fillId="2" borderId="4" xfId="0" applyNumberFormat="1" applyFill="1" applyBorder="1" applyAlignment="1">
      <alignment horizontal="left"/>
    </xf>
    <xf numFmtId="49" fontId="0" fillId="2" borderId="0" xfId="0" applyNumberFormat="1" applyFill="1" applyAlignment="1">
      <alignment horizontal="left"/>
    </xf>
    <xf numFmtId="49" fontId="0" fillId="2" borderId="5" xfId="0" applyNumberFormat="1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1C13-5D7D-42B2-A15F-BD13A5CB32FA}">
  <dimension ref="B4:S60"/>
  <sheetViews>
    <sheetView tabSelected="1" topLeftCell="A46" workbookViewId="0">
      <selection activeCell="G49" sqref="G49"/>
    </sheetView>
  </sheetViews>
  <sheetFormatPr defaultRowHeight="15" x14ac:dyDescent="0.25"/>
  <cols>
    <col min="7" max="8" width="12" bestFit="1" customWidth="1"/>
  </cols>
  <sheetData>
    <row r="4" spans="2:19" x14ac:dyDescent="0.25">
      <c r="B4" s="35" t="s">
        <v>0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31"/>
      <c r="P4" s="22"/>
      <c r="Q4" s="22"/>
      <c r="R4" s="22"/>
      <c r="S4" s="22"/>
    </row>
    <row r="5" spans="2:19" x14ac:dyDescent="0.25">
      <c r="B5" s="32" t="s">
        <v>5</v>
      </c>
      <c r="C5" s="33"/>
      <c r="D5" s="33"/>
      <c r="E5" s="34"/>
      <c r="F5" s="23"/>
      <c r="G5" s="24"/>
      <c r="H5" s="24"/>
      <c r="I5" s="25"/>
      <c r="J5" s="25"/>
      <c r="K5" s="25"/>
      <c r="L5" s="25"/>
      <c r="M5" s="25"/>
      <c r="N5" s="26"/>
      <c r="O5" s="31"/>
      <c r="P5" s="22"/>
      <c r="Q5" s="22"/>
      <c r="R5" s="22"/>
      <c r="S5" s="22"/>
    </row>
    <row r="6" spans="2:19" x14ac:dyDescent="0.25">
      <c r="B6" s="38" t="s">
        <v>1</v>
      </c>
      <c r="C6" s="39"/>
      <c r="D6" s="39"/>
      <c r="E6" s="8">
        <v>10</v>
      </c>
      <c r="F6" s="27"/>
      <c r="G6" s="46" t="s">
        <v>8</v>
      </c>
      <c r="H6" s="47"/>
      <c r="I6" s="47"/>
      <c r="J6" s="47"/>
      <c r="K6" s="47"/>
      <c r="L6" s="47"/>
      <c r="M6" s="47"/>
      <c r="N6" s="48"/>
      <c r="O6" s="31"/>
      <c r="P6" s="22"/>
      <c r="Q6" s="22"/>
      <c r="R6" s="22"/>
      <c r="S6" s="22"/>
    </row>
    <row r="7" spans="2:19" x14ac:dyDescent="0.25">
      <c r="B7" s="38" t="s">
        <v>2</v>
      </c>
      <c r="C7" s="39"/>
      <c r="D7" s="39"/>
      <c r="E7" s="8">
        <v>6</v>
      </c>
      <c r="F7" s="27"/>
      <c r="G7" s="49" t="s">
        <v>10</v>
      </c>
      <c r="H7" s="50"/>
      <c r="I7" s="50"/>
      <c r="J7" s="50"/>
      <c r="K7" s="50"/>
      <c r="L7" s="50"/>
      <c r="M7" s="50"/>
      <c r="N7" s="51"/>
      <c r="O7" s="31"/>
      <c r="P7" s="22"/>
      <c r="Q7" s="22"/>
      <c r="R7" s="22"/>
      <c r="S7" s="22"/>
    </row>
    <row r="8" spans="2:19" x14ac:dyDescent="0.25">
      <c r="B8" s="38" t="s">
        <v>3</v>
      </c>
      <c r="C8" s="39"/>
      <c r="D8" s="39"/>
      <c r="E8" s="8">
        <v>5</v>
      </c>
      <c r="F8" s="27"/>
      <c r="G8" s="49" t="s">
        <v>9</v>
      </c>
      <c r="H8" s="50"/>
      <c r="I8" s="50"/>
      <c r="J8" s="50"/>
      <c r="K8" s="50"/>
      <c r="L8" s="50"/>
      <c r="M8" s="50"/>
      <c r="N8" s="51"/>
      <c r="O8" s="31"/>
      <c r="P8" s="22"/>
      <c r="Q8" s="22"/>
      <c r="R8" s="22"/>
      <c r="S8" s="22"/>
    </row>
    <row r="9" spans="2:19" x14ac:dyDescent="0.25">
      <c r="B9" s="55" t="s">
        <v>4</v>
      </c>
      <c r="C9" s="56"/>
      <c r="D9" s="56"/>
      <c r="E9" s="9">
        <v>8</v>
      </c>
      <c r="F9" s="27"/>
      <c r="G9" s="49" t="s">
        <v>13</v>
      </c>
      <c r="H9" s="50"/>
      <c r="I9" s="50"/>
      <c r="J9" s="50"/>
      <c r="K9" s="50"/>
      <c r="L9" s="50"/>
      <c r="M9" s="50"/>
      <c r="N9" s="51"/>
      <c r="O9" s="31"/>
      <c r="P9" s="22"/>
      <c r="Q9" s="22"/>
      <c r="R9" s="22"/>
      <c r="S9" s="22"/>
    </row>
    <row r="10" spans="2:19" x14ac:dyDescent="0.25">
      <c r="B10" s="32" t="s">
        <v>6</v>
      </c>
      <c r="C10" s="33"/>
      <c r="D10" s="33"/>
      <c r="E10" s="34"/>
      <c r="F10" s="27"/>
      <c r="G10" s="52" t="s">
        <v>11</v>
      </c>
      <c r="H10" s="53"/>
      <c r="I10" s="53"/>
      <c r="J10" s="53"/>
      <c r="K10" s="53"/>
      <c r="L10" s="53"/>
      <c r="M10" s="53"/>
      <c r="N10" s="54"/>
      <c r="O10" s="31"/>
      <c r="P10" s="22"/>
      <c r="Q10" s="22"/>
      <c r="R10" s="22"/>
      <c r="S10" s="22"/>
    </row>
    <row r="11" spans="2:19" x14ac:dyDescent="0.25">
      <c r="B11" s="38" t="s">
        <v>7</v>
      </c>
      <c r="C11" s="39"/>
      <c r="D11" s="39"/>
      <c r="E11" s="3">
        <f>E6*E7</f>
        <v>60</v>
      </c>
      <c r="F11" s="28"/>
      <c r="G11" s="29"/>
      <c r="H11" s="29"/>
      <c r="I11" s="29"/>
      <c r="J11" s="29"/>
      <c r="K11" s="29"/>
      <c r="L11" s="29"/>
      <c r="M11" s="29"/>
      <c r="N11" s="30"/>
      <c r="O11" s="31"/>
      <c r="P11" s="22"/>
      <c r="Q11" s="22"/>
      <c r="R11" s="22"/>
      <c r="S11" s="22"/>
    </row>
    <row r="12" spans="2:19" x14ac:dyDescent="0.25">
      <c r="B12" s="62"/>
      <c r="C12" s="63"/>
      <c r="D12" s="63"/>
      <c r="E12" s="63"/>
      <c r="F12" s="63"/>
      <c r="G12" s="6">
        <v>0</v>
      </c>
      <c r="H12" s="6">
        <v>1</v>
      </c>
      <c r="I12" s="6">
        <v>2</v>
      </c>
      <c r="J12" s="6">
        <v>3</v>
      </c>
      <c r="K12" s="6">
        <v>4</v>
      </c>
      <c r="L12" s="6">
        <v>5</v>
      </c>
      <c r="M12" s="6">
        <v>6</v>
      </c>
      <c r="N12" s="7">
        <v>7</v>
      </c>
      <c r="O12" s="31"/>
      <c r="P12" s="22"/>
      <c r="Q12" s="22"/>
      <c r="R12" s="22"/>
      <c r="S12" s="22"/>
    </row>
    <row r="13" spans="2:19" x14ac:dyDescent="0.25">
      <c r="B13" s="38" t="s">
        <v>12</v>
      </c>
      <c r="C13" s="39"/>
      <c r="D13" s="39"/>
      <c r="E13" s="39"/>
      <c r="F13" s="39"/>
      <c r="G13">
        <f>$E$9-G12</f>
        <v>8</v>
      </c>
      <c r="H13">
        <f t="shared" ref="H13:N13" si="0">$E$9-H12</f>
        <v>7</v>
      </c>
      <c r="I13">
        <f t="shared" si="0"/>
        <v>6</v>
      </c>
      <c r="J13">
        <f t="shared" si="0"/>
        <v>5</v>
      </c>
      <c r="K13">
        <f t="shared" si="0"/>
        <v>4</v>
      </c>
      <c r="L13">
        <f t="shared" si="0"/>
        <v>3</v>
      </c>
      <c r="M13">
        <f t="shared" si="0"/>
        <v>2</v>
      </c>
      <c r="N13" s="3">
        <f t="shared" si="0"/>
        <v>1</v>
      </c>
      <c r="O13" s="31"/>
      <c r="P13" s="22"/>
      <c r="Q13" s="22"/>
      <c r="R13" s="22"/>
      <c r="S13" s="22"/>
    </row>
    <row r="14" spans="2:19" x14ac:dyDescent="0.25">
      <c r="B14" s="38" t="s">
        <v>14</v>
      </c>
      <c r="C14" s="39"/>
      <c r="D14" s="39"/>
      <c r="E14" s="39"/>
      <c r="F14" s="39"/>
      <c r="G14">
        <f>1-((FACT($E$11-$E$7)/FACT($E$11-$E$7-G13))/(FACT($E$11)/FACT($E$11-G13)))</f>
        <v>0.59334897468952663</v>
      </c>
      <c r="H14">
        <f t="shared" ref="H14:L14" si="1">1-((FACT($E$11-$E$7)/FACT($E$11-$E$7-H13))/(FACT($E$11)/FACT($E$11-H13)))</f>
        <v>0.54143607784138159</v>
      </c>
      <c r="I14">
        <f t="shared" si="1"/>
        <v>0.48411558757155382</v>
      </c>
      <c r="J14">
        <f t="shared" si="1"/>
        <v>0.42094606768235721</v>
      </c>
      <c r="K14">
        <f t="shared" si="1"/>
        <v>0.35145959580423924</v>
      </c>
      <c r="L14">
        <f t="shared" si="1"/>
        <v>0.2751607247223844</v>
      </c>
      <c r="M14">
        <f t="shared" ref="M14" si="2">1-((FACT($E$11-$E$7)/FACT($E$11-$E$7-M13))/(FACT($E$11)/FACT($E$11-M13)))</f>
        <v>0.19152542372881398</v>
      </c>
      <c r="N14" s="3">
        <f t="shared" ref="N14" si="3">1-((FACT($E$11-$E$7)/FACT($E$11-$E$7-N13))/(FACT($E$11)/FACT($E$11-N13)))</f>
        <v>0.10000000000000009</v>
      </c>
      <c r="O14" s="31"/>
      <c r="P14" s="22"/>
      <c r="Q14" s="22"/>
      <c r="R14" s="22"/>
      <c r="S14" s="22"/>
    </row>
    <row r="15" spans="2:19" x14ac:dyDescent="0.25">
      <c r="B15" s="55" t="s">
        <v>41</v>
      </c>
      <c r="C15" s="56"/>
      <c r="D15" s="56"/>
      <c r="E15" s="56"/>
      <c r="F15" s="56"/>
      <c r="G15" s="4">
        <f>G14*POWER(($E$7/($E$11-$E$9)), G12)</f>
        <v>0.59334897468952663</v>
      </c>
      <c r="H15" s="4">
        <f t="shared" ref="H15:N15" si="4">H14*POWER(($E$7/($E$11-$E$9)), H12)</f>
        <v>6.2473393597082497E-2</v>
      </c>
      <c r="I15" s="4">
        <f t="shared" si="4"/>
        <v>6.4453258700354812E-3</v>
      </c>
      <c r="J15" s="4">
        <f t="shared" si="4"/>
        <v>6.4665133292123619E-4</v>
      </c>
      <c r="K15" s="4">
        <f t="shared" si="4"/>
        <v>6.2296985531282587E-5</v>
      </c>
      <c r="L15" s="4">
        <f t="shared" si="4"/>
        <v>5.6276357307048804E-6</v>
      </c>
      <c r="M15" s="4">
        <f t="shared" si="4"/>
        <v>4.5197443687144506E-7</v>
      </c>
      <c r="N15" s="5">
        <f t="shared" si="4"/>
        <v>2.7229229178436241E-8</v>
      </c>
    </row>
    <row r="16" spans="2:19" x14ac:dyDescent="0.25">
      <c r="B16" s="38" t="s">
        <v>15</v>
      </c>
      <c r="C16" s="39"/>
      <c r="D16" s="39"/>
      <c r="E16" s="39"/>
      <c r="F16" s="39"/>
      <c r="G16">
        <f ca="1">PRODUCT(OFFSET(G14,0,0,1,E8))</f>
        <v>2.3009560089152996E-2</v>
      </c>
      <c r="N16" s="3"/>
    </row>
    <row r="17" spans="2:18" x14ac:dyDescent="0.25">
      <c r="B17" s="38" t="s">
        <v>39</v>
      </c>
      <c r="C17" s="39"/>
      <c r="D17" s="39"/>
      <c r="E17" s="39"/>
      <c r="F17" s="39"/>
      <c r="G17">
        <f ca="1">1-((FACT($E$11-$E$7)/FACT($E$11-$E$7-SUM(OFFSET(G13,0,0,1,E8))))/(FACT($E$11)/FACT($E$11-SUM(OFFSET(G13,0,0,1,E8)))))</f>
        <v>0.98813964804152132</v>
      </c>
      <c r="N17" s="3"/>
    </row>
    <row r="18" spans="2:18" x14ac:dyDescent="0.25">
      <c r="B18" s="55" t="s">
        <v>40</v>
      </c>
      <c r="C18" s="56"/>
      <c r="D18" s="56"/>
      <c r="E18" s="56"/>
      <c r="F18" s="56"/>
      <c r="G18" s="4">
        <f ca="1">SUM(OFFSET(G15,0,0,1,E8))</f>
        <v>0.66297664247509702</v>
      </c>
      <c r="H18" s="4"/>
      <c r="I18" s="4"/>
      <c r="J18" s="4"/>
      <c r="K18" s="4"/>
      <c r="L18" s="4"/>
      <c r="M18" s="4"/>
      <c r="N18" s="5"/>
    </row>
    <row r="28" spans="2:18" x14ac:dyDescent="0.25">
      <c r="B28" s="35" t="s">
        <v>16</v>
      </c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7"/>
      <c r="O28" s="22"/>
      <c r="P28" s="22"/>
      <c r="Q28" s="22"/>
      <c r="R28" s="22"/>
    </row>
    <row r="29" spans="2:18" x14ac:dyDescent="0.25">
      <c r="B29" s="35" t="s">
        <v>5</v>
      </c>
      <c r="C29" s="36"/>
      <c r="D29" s="36"/>
      <c r="E29" s="36"/>
      <c r="F29" s="21"/>
      <c r="G29" s="64" t="s">
        <v>65</v>
      </c>
      <c r="H29" s="65"/>
      <c r="I29" s="65"/>
      <c r="J29" s="65"/>
      <c r="K29" s="66"/>
      <c r="L29" s="20">
        <v>1</v>
      </c>
      <c r="M29" s="20">
        <v>2</v>
      </c>
      <c r="N29" s="21">
        <v>3</v>
      </c>
    </row>
    <row r="30" spans="2:18" x14ac:dyDescent="0.25">
      <c r="B30" s="38" t="s">
        <v>52</v>
      </c>
      <c r="C30" s="39"/>
      <c r="D30" s="39"/>
      <c r="E30" s="17">
        <v>29</v>
      </c>
      <c r="F30" s="3"/>
      <c r="G30" s="32" t="s">
        <v>44</v>
      </c>
      <c r="H30" s="40"/>
      <c r="I30" s="40"/>
      <c r="J30" s="40"/>
      <c r="K30" s="41"/>
      <c r="L30" s="19"/>
      <c r="M30" s="6"/>
      <c r="N30" s="7"/>
    </row>
    <row r="31" spans="2:18" x14ac:dyDescent="0.25">
      <c r="B31" s="38" t="s">
        <v>53</v>
      </c>
      <c r="C31" s="39"/>
      <c r="D31" s="39"/>
      <c r="E31" s="17">
        <v>22</v>
      </c>
      <c r="F31" s="3"/>
      <c r="G31" s="42" t="s">
        <v>59</v>
      </c>
      <c r="H31" s="43"/>
      <c r="I31" s="43"/>
      <c r="J31" s="43"/>
      <c r="K31" s="44"/>
      <c r="L31" s="16"/>
      <c r="N31" s="3"/>
    </row>
    <row r="32" spans="2:18" x14ac:dyDescent="0.25">
      <c r="B32" s="38" t="s">
        <v>54</v>
      </c>
      <c r="C32" s="39"/>
      <c r="D32" s="39"/>
      <c r="E32" s="17">
        <v>29</v>
      </c>
      <c r="F32" s="10" t="s">
        <v>17</v>
      </c>
      <c r="G32" s="38" t="s">
        <v>45</v>
      </c>
      <c r="H32" s="39"/>
      <c r="I32" s="39"/>
      <c r="J32" s="39"/>
      <c r="K32" s="45"/>
      <c r="L32" s="16">
        <f>1-POWER(($E$33/$E$39),L29)</f>
        <v>0.6875</v>
      </c>
      <c r="M32">
        <f>1-POWER(($E$33/$E$39),M29)</f>
        <v>0.90234375</v>
      </c>
      <c r="N32" s="3">
        <f>1-POWER(($E$33/$E$39),N29)</f>
        <v>0.969482421875</v>
      </c>
    </row>
    <row r="33" spans="2:14" x14ac:dyDescent="0.25">
      <c r="B33" s="38" t="s">
        <v>55</v>
      </c>
      <c r="C33" s="39"/>
      <c r="D33" s="39"/>
      <c r="E33" s="17">
        <f>25</f>
        <v>25</v>
      </c>
      <c r="F33" s="3">
        <v>1</v>
      </c>
      <c r="G33" s="38" t="s">
        <v>46</v>
      </c>
      <c r="H33" s="39"/>
      <c r="I33" s="39"/>
      <c r="J33" s="39"/>
      <c r="K33" s="45"/>
      <c r="L33" s="16">
        <f>1-POWER(($E$35/$E$39),L29)</f>
        <v>0.6875</v>
      </c>
      <c r="M33">
        <f>1-POWER(($E$35/$E$39),M29)</f>
        <v>0.90234375</v>
      </c>
      <c r="N33" s="3">
        <f>1-POWER(($E$35/$E$39),N29)</f>
        <v>0.969482421875</v>
      </c>
    </row>
    <row r="34" spans="2:14" x14ac:dyDescent="0.25">
      <c r="B34" s="38" t="s">
        <v>56</v>
      </c>
      <c r="C34" s="39"/>
      <c r="D34" s="39"/>
      <c r="E34" s="17">
        <f>25</f>
        <v>25</v>
      </c>
      <c r="F34" s="3">
        <v>2</v>
      </c>
      <c r="G34" s="42" t="s">
        <v>60</v>
      </c>
      <c r="H34" s="43"/>
      <c r="I34" s="43"/>
      <c r="J34" s="43"/>
      <c r="K34" s="44"/>
      <c r="L34" s="16"/>
      <c r="N34" s="3"/>
    </row>
    <row r="35" spans="2:14" x14ac:dyDescent="0.25">
      <c r="B35" s="38" t="s">
        <v>57</v>
      </c>
      <c r="C35" s="39"/>
      <c r="D35" s="39"/>
      <c r="E35" s="17">
        <f>25</f>
        <v>25</v>
      </c>
      <c r="F35" s="3">
        <v>1</v>
      </c>
      <c r="G35" s="38" t="s">
        <v>43</v>
      </c>
      <c r="H35" s="39"/>
      <c r="I35" s="39"/>
      <c r="J35" s="39"/>
      <c r="K35" s="45"/>
      <c r="L35" s="16">
        <f t="shared" ref="L35:N36" si="5">1-POWER(((($E$37*2)+$E$31)/$E$39),L$29)</f>
        <v>0.5</v>
      </c>
      <c r="M35">
        <f t="shared" si="5"/>
        <v>0.75</v>
      </c>
      <c r="N35" s="3">
        <f t="shared" si="5"/>
        <v>0.875</v>
      </c>
    </row>
    <row r="36" spans="2:14" x14ac:dyDescent="0.25">
      <c r="B36" s="38" t="s">
        <v>58</v>
      </c>
      <c r="C36" s="39"/>
      <c r="D36" s="39"/>
      <c r="E36" s="17">
        <f>5</f>
        <v>5</v>
      </c>
      <c r="F36" s="3">
        <v>3</v>
      </c>
      <c r="G36" s="38" t="s">
        <v>51</v>
      </c>
      <c r="H36" s="39"/>
      <c r="I36" s="39"/>
      <c r="J36" s="39"/>
      <c r="K36" s="45"/>
      <c r="L36" s="16">
        <f t="shared" si="5"/>
        <v>0.5</v>
      </c>
      <c r="M36">
        <f t="shared" si="5"/>
        <v>0.75</v>
      </c>
      <c r="N36" s="3">
        <f t="shared" si="5"/>
        <v>0.875</v>
      </c>
    </row>
    <row r="37" spans="2:14" x14ac:dyDescent="0.25">
      <c r="B37" s="55" t="s">
        <v>64</v>
      </c>
      <c r="C37" s="56"/>
      <c r="D37" s="56"/>
      <c r="E37" s="11">
        <v>9</v>
      </c>
      <c r="F37" s="5"/>
      <c r="G37" s="42" t="s">
        <v>61</v>
      </c>
      <c r="H37" s="43"/>
      <c r="I37" s="43"/>
      <c r="J37" s="43"/>
      <c r="K37" s="44"/>
      <c r="L37" s="16"/>
      <c r="N37" s="3"/>
    </row>
    <row r="38" spans="2:14" x14ac:dyDescent="0.25">
      <c r="B38" s="32" t="s">
        <v>6</v>
      </c>
      <c r="C38" s="40"/>
      <c r="D38" s="40"/>
      <c r="E38" s="41"/>
      <c r="G38" s="38" t="s">
        <v>49</v>
      </c>
      <c r="H38" s="39"/>
      <c r="I38" s="39"/>
      <c r="J38" s="39"/>
      <c r="K38" s="45"/>
      <c r="L38" s="16">
        <f t="shared" ref="L38:N39" si="6">1-POWER(((($E$37*2)+$E$32)/$E$39),L$29)</f>
        <v>0.41249999999999998</v>
      </c>
      <c r="M38">
        <f t="shared" si="6"/>
        <v>0.65484374999999995</v>
      </c>
      <c r="N38" s="3">
        <f t="shared" si="6"/>
        <v>0.79722070312499993</v>
      </c>
    </row>
    <row r="39" spans="2:14" x14ac:dyDescent="0.25">
      <c r="B39" s="59" t="s">
        <v>18</v>
      </c>
      <c r="C39" s="60"/>
      <c r="D39" s="60"/>
      <c r="E39" s="3">
        <f>SUM(E30:E32)</f>
        <v>80</v>
      </c>
      <c r="G39" s="38" t="s">
        <v>50</v>
      </c>
      <c r="H39" s="39"/>
      <c r="I39" s="39"/>
      <c r="J39" s="39"/>
      <c r="K39" s="45"/>
      <c r="L39" s="16">
        <f t="shared" si="6"/>
        <v>0.41249999999999998</v>
      </c>
      <c r="M39">
        <f t="shared" si="6"/>
        <v>0.65484374999999995</v>
      </c>
      <c r="N39" s="3">
        <f t="shared" si="6"/>
        <v>0.79722070312499993</v>
      </c>
    </row>
    <row r="40" spans="2:14" x14ac:dyDescent="0.25">
      <c r="B40" s="59"/>
      <c r="C40" s="60"/>
      <c r="D40" s="60"/>
      <c r="E40" s="3"/>
      <c r="G40" s="42" t="s">
        <v>62</v>
      </c>
      <c r="H40" s="43"/>
      <c r="I40" s="43"/>
      <c r="J40" s="43"/>
      <c r="K40" s="44"/>
      <c r="L40" s="16"/>
      <c r="N40" s="3"/>
    </row>
    <row r="41" spans="2:14" x14ac:dyDescent="0.25">
      <c r="B41" s="59" t="s">
        <v>63</v>
      </c>
      <c r="C41" s="60"/>
      <c r="D41" s="60"/>
      <c r="E41" s="3" cm="1">
        <f t="array" ref="E41">SUM(E33:E36 *F33:F36)</f>
        <v>115</v>
      </c>
      <c r="G41" s="38" t="s">
        <v>47</v>
      </c>
      <c r="H41" s="39"/>
      <c r="I41" s="39"/>
      <c r="J41" s="39"/>
      <c r="K41" s="45"/>
      <c r="L41" s="16">
        <f t="shared" ref="L41:N42" si="7">1-POWER(($E$39+$E$37-$E$30)/$E$39,L$29)</f>
        <v>0.25</v>
      </c>
      <c r="M41">
        <f t="shared" si="7"/>
        <v>0.4375</v>
      </c>
      <c r="N41" s="3">
        <f t="shared" si="7"/>
        <v>0.578125</v>
      </c>
    </row>
    <row r="42" spans="2:14" x14ac:dyDescent="0.25">
      <c r="B42" s="57" t="s">
        <v>19</v>
      </c>
      <c r="C42" s="58"/>
      <c r="D42" s="58"/>
      <c r="E42" s="5">
        <f>E41/E39</f>
        <v>1.4375</v>
      </c>
      <c r="F42" s="4"/>
      <c r="G42" s="55" t="s">
        <v>48</v>
      </c>
      <c r="H42" s="56"/>
      <c r="I42" s="56"/>
      <c r="J42" s="56"/>
      <c r="K42" s="61"/>
      <c r="L42" s="18">
        <f t="shared" si="7"/>
        <v>0.25</v>
      </c>
      <c r="M42" s="4">
        <f t="shared" si="7"/>
        <v>0.4375</v>
      </c>
      <c r="N42" s="5">
        <f t="shared" si="7"/>
        <v>0.578125</v>
      </c>
    </row>
    <row r="51" spans="2:18" x14ac:dyDescent="0.25">
      <c r="B51" s="43" t="s">
        <v>20</v>
      </c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</row>
    <row r="52" spans="2:18" x14ac:dyDescent="0.25">
      <c r="B52" s="32" t="s">
        <v>5</v>
      </c>
      <c r="C52" s="40"/>
      <c r="D52" s="40"/>
      <c r="E52" s="40"/>
      <c r="F52" s="41"/>
    </row>
    <row r="53" spans="2:18" x14ac:dyDescent="0.25">
      <c r="B53" s="59" t="s">
        <v>21</v>
      </c>
      <c r="C53" s="60"/>
      <c r="D53" s="60"/>
      <c r="E53" s="1" t="s">
        <v>22</v>
      </c>
      <c r="F53" s="10" t="s">
        <v>23</v>
      </c>
      <c r="H53" s="1" t="s">
        <v>30</v>
      </c>
      <c r="I53" s="1"/>
      <c r="J53" cm="1">
        <f t="array" ref="J53">SUM(E54:E58*F54:F58)-E55-E56</f>
        <v>34</v>
      </c>
      <c r="L53" s="2" t="s">
        <v>42</v>
      </c>
      <c r="M53" cm="1">
        <f t="array" ref="M53">SUM(E54:E58*F54:F58)</f>
        <v>44</v>
      </c>
    </row>
    <row r="54" spans="2:18" x14ac:dyDescent="0.25">
      <c r="B54" s="59" t="s">
        <v>24</v>
      </c>
      <c r="C54" s="60"/>
      <c r="D54" s="60"/>
      <c r="E54" s="14">
        <v>8</v>
      </c>
      <c r="F54" s="10">
        <v>1</v>
      </c>
      <c r="H54" t="s">
        <v>31</v>
      </c>
      <c r="J54" s="15" t="s">
        <v>34</v>
      </c>
    </row>
    <row r="55" spans="2:18" x14ac:dyDescent="0.25">
      <c r="B55" s="59" t="s">
        <v>25</v>
      </c>
      <c r="C55" s="60"/>
      <c r="D55" s="60"/>
      <c r="E55" s="14">
        <v>6</v>
      </c>
      <c r="F55" s="10">
        <v>1</v>
      </c>
    </row>
    <row r="56" spans="2:18" x14ac:dyDescent="0.25">
      <c r="B56" s="59" t="s">
        <v>26</v>
      </c>
      <c r="C56" s="60"/>
      <c r="D56" s="60"/>
      <c r="E56" s="14">
        <v>4</v>
      </c>
      <c r="F56" s="10">
        <v>5</v>
      </c>
    </row>
    <row r="57" spans="2:18" x14ac:dyDescent="0.25">
      <c r="B57" s="59" t="s">
        <v>27</v>
      </c>
      <c r="C57" s="60"/>
      <c r="D57" s="60"/>
      <c r="E57" s="14">
        <v>2</v>
      </c>
      <c r="F57" s="10">
        <v>4</v>
      </c>
      <c r="H57" s="2" t="s">
        <v>37</v>
      </c>
      <c r="I57" s="2"/>
      <c r="J57" s="1">
        <v>2</v>
      </c>
      <c r="K57" s="1">
        <v>3</v>
      </c>
      <c r="L57" s="1">
        <v>4</v>
      </c>
    </row>
    <row r="58" spans="2:18" x14ac:dyDescent="0.25">
      <c r="B58" s="59" t="s">
        <v>28</v>
      </c>
      <c r="C58" s="60"/>
      <c r="D58" s="60"/>
      <c r="E58" s="14">
        <v>2</v>
      </c>
      <c r="F58" s="10">
        <v>1</v>
      </c>
      <c r="H58" s="2" t="s">
        <v>35</v>
      </c>
      <c r="I58" s="2"/>
      <c r="J58">
        <f>SUM(E54,E56,E56,E57,E57)</f>
        <v>20</v>
      </c>
      <c r="K58">
        <f>SUM(E54,E56,E57,E58)</f>
        <v>16</v>
      </c>
      <c r="L58">
        <f>SUM(E54,E56,E57)</f>
        <v>14</v>
      </c>
    </row>
    <row r="59" spans="2:18" x14ac:dyDescent="0.25">
      <c r="B59" s="59" t="s">
        <v>29</v>
      </c>
      <c r="C59" s="60"/>
      <c r="D59" s="60"/>
      <c r="E59" s="14">
        <v>-2</v>
      </c>
      <c r="F59" s="10">
        <v>3</v>
      </c>
      <c r="H59" s="2" t="s">
        <v>36</v>
      </c>
      <c r="I59" s="2"/>
      <c r="J59">
        <f>SUM(E55,E56,E56,E57)</f>
        <v>16</v>
      </c>
      <c r="K59">
        <f>SUM(E56,E57,E58)</f>
        <v>8</v>
      </c>
      <c r="L59">
        <f>SUM(E56,E57)</f>
        <v>6</v>
      </c>
    </row>
    <row r="60" spans="2:18" x14ac:dyDescent="0.25">
      <c r="B60" s="57" t="s">
        <v>32</v>
      </c>
      <c r="C60" s="58"/>
      <c r="D60" s="58"/>
      <c r="E60" s="12">
        <v>-1</v>
      </c>
      <c r="F60" s="13" t="s">
        <v>33</v>
      </c>
      <c r="H60" s="2" t="s">
        <v>38</v>
      </c>
      <c r="I60" s="2"/>
      <c r="J60">
        <f>_xlfn.FLOOR.MATH($M$53/J57)</f>
        <v>22</v>
      </c>
      <c r="K60">
        <f t="shared" ref="K60:L60" si="8">_xlfn.FLOOR.MATH($M$53/K57)</f>
        <v>14</v>
      </c>
      <c r="L60">
        <f t="shared" si="8"/>
        <v>11</v>
      </c>
    </row>
  </sheetData>
  <mergeCells count="59">
    <mergeCell ref="G34:K34"/>
    <mergeCell ref="G37:K37"/>
    <mergeCell ref="G29:K29"/>
    <mergeCell ref="G33:K33"/>
    <mergeCell ref="G35:K35"/>
    <mergeCell ref="G36:K36"/>
    <mergeCell ref="G42:K42"/>
    <mergeCell ref="B12:F12"/>
    <mergeCell ref="B28:N28"/>
    <mergeCell ref="B13:F13"/>
    <mergeCell ref="B14:F14"/>
    <mergeCell ref="B16:F16"/>
    <mergeCell ref="B17:F17"/>
    <mergeCell ref="B18:F18"/>
    <mergeCell ref="B15:F15"/>
    <mergeCell ref="G40:K40"/>
    <mergeCell ref="G38:K38"/>
    <mergeCell ref="G39:K39"/>
    <mergeCell ref="G41:K41"/>
    <mergeCell ref="B41:D41"/>
    <mergeCell ref="B42:D42"/>
    <mergeCell ref="B36:D36"/>
    <mergeCell ref="B37:D37"/>
    <mergeCell ref="B39:D39"/>
    <mergeCell ref="B38:E38"/>
    <mergeCell ref="B40:D40"/>
    <mergeCell ref="B60:D60"/>
    <mergeCell ref="B51:R51"/>
    <mergeCell ref="B52:F52"/>
    <mergeCell ref="B53:D53"/>
    <mergeCell ref="B54:D54"/>
    <mergeCell ref="B55:D55"/>
    <mergeCell ref="B56:D56"/>
    <mergeCell ref="B59:D59"/>
    <mergeCell ref="B57:D57"/>
    <mergeCell ref="B58:D58"/>
    <mergeCell ref="G8:N8"/>
    <mergeCell ref="G9:N9"/>
    <mergeCell ref="G10:N10"/>
    <mergeCell ref="B6:D6"/>
    <mergeCell ref="B7:D7"/>
    <mergeCell ref="B8:D8"/>
    <mergeCell ref="B9:D9"/>
    <mergeCell ref="B5:E5"/>
    <mergeCell ref="B4:N4"/>
    <mergeCell ref="B33:D33"/>
    <mergeCell ref="B34:D34"/>
    <mergeCell ref="B35:D35"/>
    <mergeCell ref="B29:E29"/>
    <mergeCell ref="B30:D30"/>
    <mergeCell ref="B31:D31"/>
    <mergeCell ref="B32:D32"/>
    <mergeCell ref="G30:K30"/>
    <mergeCell ref="G31:K31"/>
    <mergeCell ref="G32:K32"/>
    <mergeCell ref="B10:E10"/>
    <mergeCell ref="B11:D11"/>
    <mergeCell ref="G6:N6"/>
    <mergeCell ref="G7:N7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shn9</dc:creator>
  <cp:lastModifiedBy>shn9</cp:lastModifiedBy>
  <cp:lastPrinted>2024-06-27T19:05:46Z</cp:lastPrinted>
  <dcterms:created xsi:type="dcterms:W3CDTF">2024-06-20T17:16:26Z</dcterms:created>
  <dcterms:modified xsi:type="dcterms:W3CDTF">2024-07-04T23:59:28Z</dcterms:modified>
</cp:coreProperties>
</file>